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dor" sheetId="1" state="visible" r:id="rId3"/>
    <sheet name="Perfis" sheetId="2" state="visible" r:id="rId4"/>
    <sheet name="Cenarios" sheetId="3" state="visible" r:id="rId5"/>
  </sheets>
  <definedNames>
    <definedName function="false" hidden="false" name="Aporte_Mensal" vbProcedure="false">Simulador!$C$5</definedName>
    <definedName function="false" hidden="false" name="Dividendos_Mensais" vbProcedure="false">Simulador!$C$21</definedName>
    <definedName function="false" hidden="false" name="DY_Anual" vbProcedure="false">Simulador!$C$7</definedName>
    <definedName function="false" hidden="false" name="Lista_Perfis" vbProcedure="false">Perfis!$A$4:$A$6</definedName>
    <definedName function="false" hidden="false" name="Meses" vbProcedure="false">Simulador!$C$15</definedName>
    <definedName function="false" hidden="false" name="Patrimonio_Final" vbProcedure="false">Simulador!$C$19</definedName>
    <definedName function="false" hidden="false" name="Patrimonio_Inicial" vbProcedure="false">Simulador!$C$6</definedName>
    <definedName function="false" hidden="false" name="Perfil_Escolhido" vbProcedure="false">Simulador!$C$10</definedName>
    <definedName function="false" hidden="false" name="Prazo_Anos" vbProcedure="false">Simulador!$C$9</definedName>
    <definedName function="false" hidden="false" name="Tabela_Perfis" vbProcedure="false">Perfis!$A$4:$E$6</definedName>
    <definedName function="false" hidden="false" name="Taxa_Anual" vbProcedure="false">Simulador!$C$13</definedName>
    <definedName function="false" hidden="false" name="Taxa_Mensal" vbProcedure="false">Simulador!$C$14</definedName>
    <definedName function="false" hidden="false" name="Total_Investido" vbProcedure="false">Simulador!$C$18</definedName>
    <definedName function="false" hidden="false" name="Valorizacao_Anual" vbProcedure="false">Simulador!$C$8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<sst xmlns="http://schemas.openxmlformats.org/spreadsheetml/2006/main" count="61" uniqueCount="55">
  <si>
    <t xml:space="preserve">Simulador de Investimentos em Fundos Imobiliários (FIIs)</t>
  </si>
  <si>
    <t xml:space="preserve">Células amarelas com texto azul são entradas. O restante é calculado.</t>
  </si>
  <si>
    <t xml:space="preserve">1. Premissas</t>
  </si>
  <si>
    <t xml:space="preserve">Aporte mensal</t>
  </si>
  <si>
    <t xml:space="preserve">Valor investido todo mês (premissa do usuário)</t>
  </si>
  <si>
    <t xml:space="preserve">Patrimônio inicial</t>
  </si>
  <si>
    <t xml:space="preserve">Quanto já está investido hoje</t>
  </si>
  <si>
    <t xml:space="preserve">Dividend Yield anual (DY)</t>
  </si>
  <si>
    <t xml:space="preserve">Premissa ilustrativa; ajuste conforme sua carteira</t>
  </si>
  <si>
    <t xml:space="preserve">Valorização anual das cotas</t>
  </si>
  <si>
    <t xml:space="preserve">Premissa ilustrativa; ajuste conforme sua expectativa</t>
  </si>
  <si>
    <t xml:space="preserve">Prazo (anos)</t>
  </si>
  <si>
    <t xml:space="preserve">Entre 2 e 30 anos</t>
  </si>
  <si>
    <t xml:space="preserve">Perfil do investidor</t>
  </si>
  <si>
    <t xml:space="preserve">Moderado</t>
  </si>
  <si>
    <t xml:space="preserve">Escolha na lista: Conservador, Moderado ou Arrojado</t>
  </si>
  <si>
    <t xml:space="preserve">2. Taxas e prazo</t>
  </si>
  <si>
    <t xml:space="preserve">Retorno total anual (DY + valorização)</t>
  </si>
  <si>
    <t xml:space="preserve">Dividendos reinvestidos + valorização</t>
  </si>
  <si>
    <t xml:space="preserve">Taxa mensal equivalente</t>
  </si>
  <si>
    <t xml:space="preserve">Conversão por juros compostos: (1+i)^(1/12)-1</t>
  </si>
  <si>
    <t xml:space="preserve">Prazo em meses</t>
  </si>
  <si>
    <t xml:space="preserve">Número de períodos (nper) da função VF</t>
  </si>
  <si>
    <t xml:space="preserve">3. Resultados</t>
  </si>
  <si>
    <t xml:space="preserve">Total investido (aportes + inicial)</t>
  </si>
  <si>
    <t xml:space="preserve">Capital que saiu do seu bolso</t>
  </si>
  <si>
    <t xml:space="preserve">Patrimônio acumulado (VF)</t>
  </si>
  <si>
    <t xml:space="preserve">Função VF: (taxa; nper; -pgto; -vp), aportes no fim de cada mês</t>
  </si>
  <si>
    <t xml:space="preserve">Ganho acumulado</t>
  </si>
  <si>
    <t xml:space="preserve">Patrimônio − total investido</t>
  </si>
  <si>
    <t xml:space="preserve">Dividendos mensais estimados (no fim)</t>
  </si>
  <si>
    <t xml:space="preserve">Renda passiva mensal: patrimônio × DY ÷ 12</t>
  </si>
  <si>
    <t xml:space="preserve">Dividendos anuais estimados (no fim)</t>
  </si>
  <si>
    <t xml:space="preserve">4. Divisão do aporte mensal por perfil (PROCV)</t>
  </si>
  <si>
    <t xml:space="preserve">Segmento</t>
  </si>
  <si>
    <t xml:space="preserve">% do aporte</t>
  </si>
  <si>
    <t xml:space="preserve">Valor mensal (R$)</t>
  </si>
  <si>
    <t xml:space="preserve">FII de Tijolo</t>
  </si>
  <si>
    <t xml:space="preserve">FII de Papel</t>
  </si>
  <si>
    <t xml:space="preserve">Fundo de Fundos</t>
  </si>
  <si>
    <t xml:space="preserve">Híbrido</t>
  </si>
  <si>
    <t xml:space="preserve">Total</t>
  </si>
  <si>
    <t xml:space="preserve">Obs.: simulação educacional com premissas fixas; não é recomendação de investimento. Rentabilidade passada não garante resultados futuros.</t>
  </si>
  <si>
    <t xml:space="preserve">Tabela de apoio: distribuição do aporte por perfil de investidor</t>
  </si>
  <si>
    <t xml:space="preserve">Percentuais em azul são premissas didáticas (edite à vontade); cada linha deve somar 100%.</t>
  </si>
  <si>
    <t xml:space="preserve">Perfil</t>
  </si>
  <si>
    <t xml:space="preserve">Soma</t>
  </si>
  <si>
    <t xml:space="preserve">Conservador</t>
  </si>
  <si>
    <t xml:space="preserve">Arrojado</t>
  </si>
  <si>
    <t xml:space="preserve">Cenários de 2 a 30 anos (usa as premissas da aba Simulador)</t>
  </si>
  <si>
    <t xml:space="preserve">Anos</t>
  </si>
  <si>
    <t xml:space="preserve">Meses</t>
  </si>
  <si>
    <t xml:space="preserve">Total investido</t>
  </si>
  <si>
    <t xml:space="preserve">Patrimônio (VF)</t>
  </si>
  <si>
    <t xml:space="preserve">Dividendo mensal estimado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</si>
</sst>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.00;&quot;(R$ &quot;#,##0.00\);\-"/>
    <numFmt numFmtId="166" formatCode="0.00%"/>
    <numFmt numFmtId="167" formatCode="0"/>
    <numFmt numFmtId="168" formatCode="@"/>
    <numFmt numFmtId="169" formatCode="0.0000%"/>
    <numFmt numFmtId="170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Patrimônio acumulado × total investido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Cenarios!C3</c:f>
              <c:strCache>
                <c:ptCount val="1"/>
                <c:pt idx="0">
                  <c:v>Total investido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Cenarios!$A$4:$A$32</c:f>
              <c:strCach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strCache>
            </c:strRef>
          </c:cat>
          <c:val>
            <c:numRef>
              <c:f>Cenarios!$C$4:$C$32</c:f>
              <c:numCache>
                <c:formatCode>"R$ "#,##0.00;"(R$ "#,##0.00\);\-</c:formatCode>
                <c:ptCount val="29"/>
                <c:pt idx="0">
                  <c:v>24000</c:v>
                </c:pt>
                <c:pt idx="1">
                  <c:v>36000</c:v>
                </c:pt>
                <c:pt idx="2">
                  <c:v>48000</c:v>
                </c:pt>
                <c:pt idx="3">
                  <c:v>60000</c:v>
                </c:pt>
                <c:pt idx="4">
                  <c:v>72000</c:v>
                </c:pt>
                <c:pt idx="5">
                  <c:v>84000</c:v>
                </c:pt>
                <c:pt idx="6">
                  <c:v>96000</c:v>
                </c:pt>
                <c:pt idx="7">
                  <c:v>108000</c:v>
                </c:pt>
                <c:pt idx="8">
                  <c:v>120000</c:v>
                </c:pt>
                <c:pt idx="9">
                  <c:v>132000</c:v>
                </c:pt>
                <c:pt idx="10">
                  <c:v>144000</c:v>
                </c:pt>
                <c:pt idx="11">
                  <c:v>156000</c:v>
                </c:pt>
                <c:pt idx="12">
                  <c:v>168000</c:v>
                </c:pt>
                <c:pt idx="13">
                  <c:v>180000</c:v>
                </c:pt>
                <c:pt idx="14">
                  <c:v>192000</c:v>
                </c:pt>
                <c:pt idx="15">
                  <c:v>204000</c:v>
                </c:pt>
                <c:pt idx="16">
                  <c:v>216000</c:v>
                </c:pt>
                <c:pt idx="17">
                  <c:v>228000</c:v>
                </c:pt>
                <c:pt idx="18">
                  <c:v>240000</c:v>
                </c:pt>
                <c:pt idx="19">
                  <c:v>252000</c:v>
                </c:pt>
                <c:pt idx="20">
                  <c:v>264000</c:v>
                </c:pt>
                <c:pt idx="21">
                  <c:v>276000</c:v>
                </c:pt>
                <c:pt idx="22">
                  <c:v>288000</c:v>
                </c:pt>
                <c:pt idx="23">
                  <c:v>300000</c:v>
                </c:pt>
                <c:pt idx="24">
                  <c:v>312000</c:v>
                </c:pt>
                <c:pt idx="25">
                  <c:v>324000</c:v>
                </c:pt>
                <c:pt idx="26">
                  <c:v>336000</c:v>
                </c:pt>
                <c:pt idx="27">
                  <c:v>348000</c:v>
                </c:pt>
                <c:pt idx="28">
                  <c:v>360000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Cenarios!D3</c:f>
              <c:strCache>
                <c:ptCount val="1"/>
                <c:pt idx="0">
                  <c:v>Patrimônio (VF)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Cenarios!$A$4:$A$32</c:f>
              <c:strCach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strCache>
            </c:strRef>
          </c:cat>
          <c:val>
            <c:numRef>
              <c:f>Cenarios!$D$4:$D$32</c:f>
              <c:numCache>
                <c:formatCode>"R$ "#,##0.00;"(R$ "#,##0.00\);\-</c:formatCode>
                <c:ptCount val="29"/>
                <c:pt idx="0">
                  <c:v>26572.5006438384</c:v>
                </c:pt>
                <c:pt idx="1">
                  <c:v>42089.077915532</c:v>
                </c:pt>
                <c:pt idx="2">
                  <c:v>59312.4786871117</c:v>
                </c:pt>
                <c:pt idx="3">
                  <c:v>78430.4535435653</c:v>
                </c:pt>
                <c:pt idx="4">
                  <c:v>99651.4056342288</c:v>
                </c:pt>
                <c:pt idx="5">
                  <c:v>123206.662454865</c:v>
                </c:pt>
                <c:pt idx="6">
                  <c:v>149352.997525772</c:v>
                </c:pt>
                <c:pt idx="7">
                  <c:v>178375.429454478</c:v>
                </c:pt>
                <c:pt idx="8">
                  <c:v>210590.328895342</c:v>
                </c:pt>
                <c:pt idx="9">
                  <c:v>246348.867274701</c:v>
                </c:pt>
                <c:pt idx="10">
                  <c:v>286040.844875789</c:v>
                </c:pt>
                <c:pt idx="11">
                  <c:v>330098.940012997</c:v>
                </c:pt>
                <c:pt idx="12">
                  <c:v>379003.425615298</c:v>
                </c:pt>
                <c:pt idx="13">
                  <c:v>433287.404633852</c:v>
                </c:pt>
                <c:pt idx="14">
                  <c:v>493542.621344447</c:v>
                </c:pt>
                <c:pt idx="15">
                  <c:v>560425.911893208</c:v>
                </c:pt>
                <c:pt idx="16">
                  <c:v>634666.364402332</c:v>
                </c:pt>
                <c:pt idx="17">
                  <c:v>717073.26668746</c:v>
                </c:pt>
                <c:pt idx="18">
                  <c:v>808544.928223952</c:v>
                </c:pt>
                <c:pt idx="19">
                  <c:v>910078.472529458</c:v>
                </c:pt>
                <c:pt idx="20">
                  <c:v>1022780.70670857</c:v>
                </c:pt>
                <c:pt idx="21">
                  <c:v>1147880.18664738</c:v>
                </c:pt>
                <c:pt idx="22">
                  <c:v>1286740.60937947</c:v>
                </c:pt>
                <c:pt idx="23">
                  <c:v>1440875.67861208</c:v>
                </c:pt>
                <c:pt idx="24">
                  <c:v>1611965.60546028</c:v>
                </c:pt>
                <c:pt idx="25">
                  <c:v>1801875.42426178</c:v>
                </c:pt>
                <c:pt idx="26">
                  <c:v>2012675.32313145</c:v>
                </c:pt>
                <c:pt idx="27">
                  <c:v>2246663.21087678</c:v>
                </c:pt>
                <c:pt idx="28">
                  <c:v>2506389.7662741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088208"/>
        <c:axId val="43824012"/>
      </c:lineChart>
      <c:catAx>
        <c:axId val="770882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24012"/>
        <c:crosses val="autoZero"/>
        <c:auto val="1"/>
        <c:lblAlgn val="ctr"/>
        <c:lblOffset val="100"/>
        <c:noMultiLvlLbl val="0"/>
      </c:catAx>
      <c:valAx>
        <c:axId val="438240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&quot;(R$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882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175680</xdr:rowOff>
    </xdr:from>
    <xdr:to>
      <xdr:col>17</xdr:col>
      <xdr:colOff>364680</xdr:colOff>
      <xdr:row>17</xdr:row>
      <xdr:rowOff>158040</xdr:rowOff>
    </xdr:to>
    <xdr:graphicFrame>
      <xdr:nvGraphicFramePr>
        <xdr:cNvPr id="0" name="Chart 1"/>
        <xdr:cNvGraphicFramePr/>
      </xdr:nvGraphicFramePr>
      <xdr:xfrm>
        <a:off x="766008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18.5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</row>
    <row r="5" customFormat="false" ht="15" hidden="false" customHeight="false" outlineLevel="0" collapsed="false">
      <c r="B5" s="5" t="s">
        <v>3</v>
      </c>
      <c r="C5" s="6" t="n">
        <v>1000</v>
      </c>
      <c r="D5" s="7" t="s">
        <v>4</v>
      </c>
    </row>
    <row r="6" customFormat="false" ht="15" hidden="false" customHeight="false" outlineLevel="0" collapsed="false">
      <c r="B6" s="5" t="s">
        <v>5</v>
      </c>
      <c r="C6" s="6" t="n">
        <v>0</v>
      </c>
      <c r="D6" s="7" t="s">
        <v>6</v>
      </c>
    </row>
    <row r="7" customFormat="false" ht="15" hidden="false" customHeight="false" outlineLevel="0" collapsed="false">
      <c r="B7" s="5" t="s">
        <v>7</v>
      </c>
      <c r="C7" s="8" t="n">
        <v>0.08</v>
      </c>
      <c r="D7" s="7" t="s">
        <v>8</v>
      </c>
    </row>
    <row r="8" customFormat="false" ht="15" hidden="false" customHeight="false" outlineLevel="0" collapsed="false">
      <c r="B8" s="5" t="s">
        <v>9</v>
      </c>
      <c r="C8" s="8" t="n">
        <v>0.03</v>
      </c>
      <c r="D8" s="7" t="s">
        <v>10</v>
      </c>
    </row>
    <row r="9" customFormat="false" ht="15" hidden="false" customHeight="false" outlineLevel="0" collapsed="false">
      <c r="B9" s="5" t="s">
        <v>11</v>
      </c>
      <c r="C9" s="9" t="n">
        <v>10</v>
      </c>
      <c r="D9" s="7" t="s">
        <v>12</v>
      </c>
    </row>
    <row r="10" customFormat="false" ht="15" hidden="false" customHeight="false" outlineLevel="0" collapsed="false">
      <c r="B10" s="5" t="s">
        <v>13</v>
      </c>
      <c r="C10" s="10" t="s">
        <v>14</v>
      </c>
      <c r="D10" s="7" t="s">
        <v>15</v>
      </c>
    </row>
    <row r="12" customFormat="false" ht="15" hidden="false" customHeight="false" outlineLevel="0" collapsed="false">
      <c r="B12" s="3" t="s">
        <v>16</v>
      </c>
      <c r="C12" s="4"/>
      <c r="D12" s="4"/>
    </row>
    <row r="13" customFormat="false" ht="15" hidden="false" customHeight="false" outlineLevel="0" collapsed="false">
      <c r="B13" s="5" t="s">
        <v>17</v>
      </c>
      <c r="C13" s="11" t="n">
        <f aca="false">DY_Anual+Valorizacao_Anual</f>
        <v>0.11</v>
      </c>
      <c r="D13" s="7" t="s">
        <v>18</v>
      </c>
    </row>
    <row r="14" customFormat="false" ht="15" hidden="false" customHeight="false" outlineLevel="0" collapsed="false">
      <c r="B14" s="5" t="s">
        <v>19</v>
      </c>
      <c r="C14" s="12" t="n">
        <f aca="false">(1+Taxa_Anual)^(1/12)-1</f>
        <v>0.00873459382355191</v>
      </c>
      <c r="D14" s="7" t="s">
        <v>20</v>
      </c>
    </row>
    <row r="15" customFormat="false" ht="15" hidden="false" customHeight="false" outlineLevel="0" collapsed="false">
      <c r="B15" s="5" t="s">
        <v>21</v>
      </c>
      <c r="C15" s="13" t="n">
        <f aca="false">Prazo_Anos*12</f>
        <v>120</v>
      </c>
      <c r="D15" s="7" t="s">
        <v>22</v>
      </c>
    </row>
    <row r="17" customFormat="false" ht="15" hidden="false" customHeight="false" outlineLevel="0" collapsed="false">
      <c r="B17" s="3" t="s">
        <v>23</v>
      </c>
      <c r="C17" s="4"/>
      <c r="D17" s="4"/>
    </row>
    <row r="18" customFormat="false" ht="15" hidden="false" customHeight="false" outlineLevel="0" collapsed="false">
      <c r="B18" s="5" t="s">
        <v>24</v>
      </c>
      <c r="C18" s="14" t="n">
        <f aca="false">Patrimonio_Inicial+Aporte_Mensal*Meses</f>
        <v>120000</v>
      </c>
      <c r="D18" s="7" t="s">
        <v>25</v>
      </c>
    </row>
    <row r="19" customFormat="false" ht="15" hidden="false" customHeight="false" outlineLevel="0" collapsed="false">
      <c r="B19" s="5" t="s">
        <v>26</v>
      </c>
      <c r="C19" s="15" t="n">
        <f aca="false">FV(Taxa_Mensal,Meses,-Aporte_Mensal,-Patrimonio_Inicial)</f>
        <v>210590.328895342</v>
      </c>
      <c r="D19" s="7" t="s">
        <v>27</v>
      </c>
    </row>
    <row r="20" customFormat="false" ht="15" hidden="false" customHeight="false" outlineLevel="0" collapsed="false">
      <c r="B20" s="5" t="s">
        <v>28</v>
      </c>
      <c r="C20" s="14" t="n">
        <f aca="false">Patrimonio_Final-Total_Investido</f>
        <v>90590.3288953418</v>
      </c>
      <c r="D20" s="7" t="s">
        <v>29</v>
      </c>
    </row>
    <row r="21" customFormat="false" ht="15" hidden="false" customHeight="false" outlineLevel="0" collapsed="false">
      <c r="B21" s="5" t="s">
        <v>30</v>
      </c>
      <c r="C21" s="15" t="n">
        <f aca="false">Patrimonio_Final*DY_Anual/12</f>
        <v>1403.93552596895</v>
      </c>
      <c r="D21" s="7" t="s">
        <v>31</v>
      </c>
    </row>
    <row r="22" customFormat="false" ht="15" hidden="false" customHeight="false" outlineLevel="0" collapsed="false">
      <c r="B22" s="5" t="s">
        <v>32</v>
      </c>
      <c r="C22" s="14" t="n">
        <f aca="false">Dividendos_Mensais*12</f>
        <v>16847.2263116273</v>
      </c>
      <c r="D22" s="7"/>
    </row>
    <row r="24" customFormat="false" ht="15" hidden="false" customHeight="false" outlineLevel="0" collapsed="false">
      <c r="B24" s="3" t="s">
        <v>33</v>
      </c>
      <c r="C24" s="4"/>
      <c r="D24" s="4"/>
    </row>
    <row r="25" customFormat="false" ht="15" hidden="false" customHeight="false" outlineLevel="0" collapsed="false">
      <c r="B25" s="16" t="s">
        <v>34</v>
      </c>
      <c r="C25" s="16" t="s">
        <v>35</v>
      </c>
      <c r="D25" s="16" t="s">
        <v>36</v>
      </c>
    </row>
    <row r="26" customFormat="false" ht="15" hidden="false" customHeight="false" outlineLevel="0" collapsed="false">
      <c r="B26" s="17" t="s">
        <v>37</v>
      </c>
      <c r="C26" s="18" t="n">
        <f aca="false">VLOOKUP(Perfil_Escolhido,Tabela_Perfis,2,FALSE())</f>
        <v>0.35</v>
      </c>
      <c r="D26" s="14" t="n">
        <f aca="false">C26*Aporte_Mensal</f>
        <v>350</v>
      </c>
    </row>
    <row r="27" customFormat="false" ht="15" hidden="false" customHeight="false" outlineLevel="0" collapsed="false">
      <c r="B27" s="17" t="s">
        <v>38</v>
      </c>
      <c r="C27" s="18" t="n">
        <f aca="false">VLOOKUP(Perfil_Escolhido,Tabela_Perfis,3,FALSE())</f>
        <v>0.35</v>
      </c>
      <c r="D27" s="14" t="n">
        <f aca="false">C27*Aporte_Mensal</f>
        <v>350</v>
      </c>
    </row>
    <row r="28" customFormat="false" ht="15" hidden="false" customHeight="false" outlineLevel="0" collapsed="false">
      <c r="B28" s="17" t="s">
        <v>39</v>
      </c>
      <c r="C28" s="18" t="n">
        <f aca="false">VLOOKUP(Perfil_Escolhido,Tabela_Perfis,4,FALSE())</f>
        <v>0.2</v>
      </c>
      <c r="D28" s="14" t="n">
        <f aca="false">C28*Aporte_Mensal</f>
        <v>200</v>
      </c>
    </row>
    <row r="29" customFormat="false" ht="15" hidden="false" customHeight="false" outlineLevel="0" collapsed="false">
      <c r="B29" s="17" t="s">
        <v>40</v>
      </c>
      <c r="C29" s="18" t="n">
        <f aca="false">VLOOKUP(Perfil_Escolhido,Tabela_Perfis,5,FALSE())</f>
        <v>0.1</v>
      </c>
      <c r="D29" s="14" t="n">
        <f aca="false">C29*Aporte_Mensal</f>
        <v>100</v>
      </c>
    </row>
    <row r="30" customFormat="false" ht="15" hidden="false" customHeight="false" outlineLevel="0" collapsed="false">
      <c r="B30" s="19" t="s">
        <v>41</v>
      </c>
      <c r="C30" s="20" t="n">
        <f aca="false">SUM(C26:C29)</f>
        <v>1</v>
      </c>
      <c r="D30" s="21" t="n">
        <f aca="false">SUM(D26:D29)</f>
        <v>1000</v>
      </c>
    </row>
    <row r="32" customFormat="false" ht="15" hidden="false" customHeight="false" outlineLevel="0" collapsed="false">
      <c r="B32" s="22" t="s">
        <v>42</v>
      </c>
    </row>
  </sheetData>
  <dataValidations count="2">
    <dataValidation allowBlank="false" error="Informe um prazo inteiro entre 2 e 30 anos." errorStyle="stop" errorTitle="Prazo inválido" operator="between" showDropDown="false" showErrorMessage="true" showInputMessage="false" sqref="C9" type="whole">
      <formula1>2</formula1>
      <formula2>30</formula2>
    </dataValidation>
    <dataValidation allowBlank="false" error="Escolha um perfil da lista." errorStyle="stop" errorTitle="Perfil inválido" operator="between" showDropDown="false" showErrorMessage="true" showInputMessage="false" sqref="C10" type="list">
      <formula1>Lista_Perfis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8"/>
  </cols>
  <sheetData>
    <row r="1" customFormat="false" ht="16.15" hidden="false" customHeight="false" outlineLevel="0" collapsed="false">
      <c r="A1" s="23" t="s">
        <v>43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A3" s="16" t="s">
        <v>45</v>
      </c>
      <c r="B3" s="16" t="s">
        <v>37</v>
      </c>
      <c r="C3" s="16" t="s">
        <v>38</v>
      </c>
      <c r="D3" s="16" t="s">
        <v>39</v>
      </c>
      <c r="E3" s="16" t="s">
        <v>40</v>
      </c>
      <c r="F3" s="16" t="s">
        <v>46</v>
      </c>
    </row>
    <row r="4" customFormat="false" ht="15" hidden="false" customHeight="false" outlineLevel="0" collapsed="false">
      <c r="A4" s="24" t="s">
        <v>47</v>
      </c>
      <c r="B4" s="25" t="n">
        <v>0.5</v>
      </c>
      <c r="C4" s="25" t="n">
        <v>0.2</v>
      </c>
      <c r="D4" s="25" t="n">
        <v>0.2</v>
      </c>
      <c r="E4" s="25" t="n">
        <v>0.1</v>
      </c>
      <c r="F4" s="26" t="n">
        <f aca="false">SUM(B4:E4)</f>
        <v>1</v>
      </c>
    </row>
    <row r="5" customFormat="false" ht="15" hidden="false" customHeight="false" outlineLevel="0" collapsed="false">
      <c r="A5" s="24" t="s">
        <v>14</v>
      </c>
      <c r="B5" s="25" t="n">
        <v>0.35</v>
      </c>
      <c r="C5" s="25" t="n">
        <v>0.35</v>
      </c>
      <c r="D5" s="25" t="n">
        <v>0.2</v>
      </c>
      <c r="E5" s="25" t="n">
        <v>0.1</v>
      </c>
      <c r="F5" s="26" t="n">
        <f aca="false">SUM(B5:E5)</f>
        <v>1</v>
      </c>
    </row>
    <row r="6" customFormat="false" ht="15" hidden="false" customHeight="false" outlineLevel="0" collapsed="false">
      <c r="A6" s="24" t="s">
        <v>48</v>
      </c>
      <c r="B6" s="25" t="n">
        <v>0.2</v>
      </c>
      <c r="C6" s="25" t="n">
        <v>0.55</v>
      </c>
      <c r="D6" s="25" t="n">
        <v>0.15</v>
      </c>
      <c r="E6" s="25" t="n">
        <v>0.1</v>
      </c>
      <c r="F6" s="26" t="n">
        <f aca="false">SUM(B6:E6)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5" min="3" style="0" width="20"/>
    <col collapsed="false" customWidth="true" hidden="false" outlineLevel="0" max="6" min="6" style="0" width="24"/>
  </cols>
  <sheetData>
    <row r="1" customFormat="false" ht="16.15" hidden="false" customHeight="false" outlineLevel="0" collapsed="false">
      <c r="A1" s="23" t="s">
        <v>49</v>
      </c>
    </row>
    <row r="3" customFormat="false" ht="31.5" hidden="false" customHeight="true" outlineLevel="0" collapsed="false">
      <c r="A3" s="27" t="s">
        <v>50</v>
      </c>
      <c r="B3" s="27" t="s">
        <v>51</v>
      </c>
      <c r="C3" s="27" t="s">
        <v>52</v>
      </c>
      <c r="D3" s="27" t="s">
        <v>53</v>
      </c>
      <c r="E3" s="27" t="s">
        <v>28</v>
      </c>
      <c r="F3" s="27" t="s">
        <v>54</v>
      </c>
    </row>
    <row r="4" customFormat="false" ht="15" hidden="false" customHeight="false" outlineLevel="0" collapsed="false">
      <c r="A4" s="28" t="n">
        <v>2</v>
      </c>
      <c r="B4" s="29" t="n">
        <f aca="false">A4*12</f>
        <v>24</v>
      </c>
      <c r="C4" s="30" t="n">
        <f aca="false">Patrimonio_Inicial+Aporte_Mensal*B4</f>
        <v>24000</v>
      </c>
      <c r="D4" s="30" t="n">
        <f aca="false">FV(Taxa_Mensal,B4,-Aporte_Mensal,-Patrimonio_Inicial)</f>
        <v>26572.5006438384</v>
      </c>
      <c r="E4" s="30" t="n">
        <f aca="false">D4-C4</f>
        <v>2572.50064383843</v>
      </c>
      <c r="F4" s="30" t="n">
        <f aca="false">D4*DY_Anual/12</f>
        <v>177.150004292256</v>
      </c>
    </row>
    <row r="5" customFormat="false" ht="15" hidden="false" customHeight="false" outlineLevel="0" collapsed="false">
      <c r="A5" s="29" t="n">
        <f aca="false">A4+1</f>
        <v>3</v>
      </c>
      <c r="B5" s="29" t="n">
        <f aca="false">A5*12</f>
        <v>36</v>
      </c>
      <c r="C5" s="30" t="n">
        <f aca="false">Patrimonio_Inicial+Aporte_Mensal*B5</f>
        <v>36000</v>
      </c>
      <c r="D5" s="30" t="n">
        <f aca="false">FV(Taxa_Mensal,B5,-Aporte_Mensal,-Patrimonio_Inicial)</f>
        <v>42089.077915532</v>
      </c>
      <c r="E5" s="30" t="n">
        <f aca="false">D5-C5</f>
        <v>6089.07791553195</v>
      </c>
      <c r="F5" s="30" t="n">
        <f aca="false">D5*DY_Anual/12</f>
        <v>280.593852770213</v>
      </c>
    </row>
    <row r="6" customFormat="false" ht="15" hidden="false" customHeight="false" outlineLevel="0" collapsed="false">
      <c r="A6" s="29" t="n">
        <f aca="false">A5+1</f>
        <v>4</v>
      </c>
      <c r="B6" s="29" t="n">
        <f aca="false">A6*12</f>
        <v>48</v>
      </c>
      <c r="C6" s="30" t="n">
        <f aca="false">Patrimonio_Inicial+Aporte_Mensal*B6</f>
        <v>48000</v>
      </c>
      <c r="D6" s="30" t="n">
        <f aca="false">FV(Taxa_Mensal,B6,-Aporte_Mensal,-Patrimonio_Inicial)</f>
        <v>59312.4786871117</v>
      </c>
      <c r="E6" s="30" t="n">
        <f aca="false">D6-C6</f>
        <v>11312.4786871117</v>
      </c>
      <c r="F6" s="30" t="n">
        <f aca="false">D6*DY_Anual/12</f>
        <v>395.416524580745</v>
      </c>
    </row>
    <row r="7" customFormat="false" ht="15" hidden="false" customHeight="false" outlineLevel="0" collapsed="false">
      <c r="A7" s="29" t="n">
        <f aca="false">A6+1</f>
        <v>5</v>
      </c>
      <c r="B7" s="29" t="n">
        <f aca="false">A7*12</f>
        <v>60</v>
      </c>
      <c r="C7" s="30" t="n">
        <f aca="false">Patrimonio_Inicial+Aporte_Mensal*B7</f>
        <v>60000</v>
      </c>
      <c r="D7" s="30" t="n">
        <f aca="false">FV(Taxa_Mensal,B7,-Aporte_Mensal,-Patrimonio_Inicial)</f>
        <v>78430.4535435653</v>
      </c>
      <c r="E7" s="30" t="n">
        <f aca="false">D7-C7</f>
        <v>18430.4535435653</v>
      </c>
      <c r="F7" s="30" t="n">
        <f aca="false">D7*DY_Anual/12</f>
        <v>522.869690290436</v>
      </c>
    </row>
    <row r="8" customFormat="false" ht="15" hidden="false" customHeight="false" outlineLevel="0" collapsed="false">
      <c r="A8" s="29" t="n">
        <f aca="false">A7+1</f>
        <v>6</v>
      </c>
      <c r="B8" s="29" t="n">
        <f aca="false">A8*12</f>
        <v>72</v>
      </c>
      <c r="C8" s="30" t="n">
        <f aca="false">Patrimonio_Inicial+Aporte_Mensal*B8</f>
        <v>72000</v>
      </c>
      <c r="D8" s="30" t="n">
        <f aca="false">FV(Taxa_Mensal,B8,-Aporte_Mensal,-Patrimonio_Inicial)</f>
        <v>99651.4056342288</v>
      </c>
      <c r="E8" s="30" t="n">
        <f aca="false">D8-C8</f>
        <v>27651.4056342288</v>
      </c>
      <c r="F8" s="30" t="n">
        <f aca="false">D8*DY_Anual/12</f>
        <v>664.342704228192</v>
      </c>
    </row>
    <row r="9" customFormat="false" ht="15" hidden="false" customHeight="false" outlineLevel="0" collapsed="false">
      <c r="A9" s="29" t="n">
        <f aca="false">A8+1</f>
        <v>7</v>
      </c>
      <c r="B9" s="29" t="n">
        <f aca="false">A9*12</f>
        <v>84</v>
      </c>
      <c r="C9" s="30" t="n">
        <f aca="false">Patrimonio_Inicial+Aporte_Mensal*B9</f>
        <v>84000</v>
      </c>
      <c r="D9" s="30" t="n">
        <f aca="false">FV(Taxa_Mensal,B9,-Aporte_Mensal,-Patrimonio_Inicial)</f>
        <v>123206.662454865</v>
      </c>
      <c r="E9" s="30" t="n">
        <f aca="false">D9-C9</f>
        <v>39206.6624548653</v>
      </c>
      <c r="F9" s="30" t="n">
        <f aca="false">D9*DY_Anual/12</f>
        <v>821.377749699102</v>
      </c>
    </row>
    <row r="10" customFormat="false" ht="15" hidden="false" customHeight="false" outlineLevel="0" collapsed="false">
      <c r="A10" s="29" t="n">
        <f aca="false">A9+1</f>
        <v>8</v>
      </c>
      <c r="B10" s="29" t="n">
        <f aca="false">A10*12</f>
        <v>96</v>
      </c>
      <c r="C10" s="30" t="n">
        <f aca="false">Patrimonio_Inicial+Aporte_Mensal*B10</f>
        <v>96000</v>
      </c>
      <c r="D10" s="30" t="n">
        <f aca="false">FV(Taxa_Mensal,B10,-Aporte_Mensal,-Patrimonio_Inicial)</f>
        <v>149352.997525772</v>
      </c>
      <c r="E10" s="30" t="n">
        <f aca="false">D10-C10</f>
        <v>53352.9975257718</v>
      </c>
      <c r="F10" s="30" t="n">
        <f aca="false">D10*DY_Anual/12</f>
        <v>995.686650171812</v>
      </c>
    </row>
    <row r="11" customFormat="false" ht="15" hidden="false" customHeight="false" outlineLevel="0" collapsed="false">
      <c r="A11" s="29" t="n">
        <f aca="false">A10+1</f>
        <v>9</v>
      </c>
      <c r="B11" s="29" t="n">
        <f aca="false">A11*12</f>
        <v>108</v>
      </c>
      <c r="C11" s="30" t="n">
        <f aca="false">Patrimonio_Inicial+Aporte_Mensal*B11</f>
        <v>108000</v>
      </c>
      <c r="D11" s="30" t="n">
        <f aca="false">FV(Taxa_Mensal,B11,-Aporte_Mensal,-Patrimonio_Inicial)</f>
        <v>178375.429454478</v>
      </c>
      <c r="E11" s="30" t="n">
        <f aca="false">D11-C11</f>
        <v>70375.4294544779</v>
      </c>
      <c r="F11" s="30" t="n">
        <f aca="false">D11*DY_Anual/12</f>
        <v>1189.16952969652</v>
      </c>
    </row>
    <row r="12" customFormat="false" ht="15" hidden="false" customHeight="false" outlineLevel="0" collapsed="false">
      <c r="A12" s="29" t="n">
        <f aca="false">A11+1</f>
        <v>10</v>
      </c>
      <c r="B12" s="29" t="n">
        <f aca="false">A12*12</f>
        <v>120</v>
      </c>
      <c r="C12" s="30" t="n">
        <f aca="false">Patrimonio_Inicial+Aporte_Mensal*B12</f>
        <v>120000</v>
      </c>
      <c r="D12" s="30" t="n">
        <f aca="false">FV(Taxa_Mensal,B12,-Aporte_Mensal,-Patrimonio_Inicial)</f>
        <v>210590.328895342</v>
      </c>
      <c r="E12" s="30" t="n">
        <f aca="false">D12-C12</f>
        <v>90590.3288953418</v>
      </c>
      <c r="F12" s="30" t="n">
        <f aca="false">D12*DY_Anual/12</f>
        <v>1403.93552596895</v>
      </c>
    </row>
    <row r="13" customFormat="false" ht="15" hidden="false" customHeight="false" outlineLevel="0" collapsed="false">
      <c r="A13" s="29" t="n">
        <f aca="false">A12+1</f>
        <v>11</v>
      </c>
      <c r="B13" s="29" t="n">
        <f aca="false">A13*12</f>
        <v>132</v>
      </c>
      <c r="C13" s="30" t="n">
        <f aca="false">Patrimonio_Inicial+Aporte_Mensal*B13</f>
        <v>132000</v>
      </c>
      <c r="D13" s="30" t="n">
        <f aca="false">FV(Taxa_Mensal,B13,-Aporte_Mensal,-Patrimonio_Inicial)</f>
        <v>246348.867274701</v>
      </c>
      <c r="E13" s="30" t="n">
        <f aca="false">D13-C13</f>
        <v>114348.867274701</v>
      </c>
      <c r="F13" s="30" t="n">
        <f aca="false">D13*DY_Anual/12</f>
        <v>1642.32578183134</v>
      </c>
    </row>
    <row r="14" customFormat="false" ht="15" hidden="false" customHeight="false" outlineLevel="0" collapsed="false">
      <c r="A14" s="29" t="n">
        <f aca="false">A13+1</f>
        <v>12</v>
      </c>
      <c r="B14" s="29" t="n">
        <f aca="false">A14*12</f>
        <v>144</v>
      </c>
      <c r="C14" s="30" t="n">
        <f aca="false">Patrimonio_Inicial+Aporte_Mensal*B14</f>
        <v>144000</v>
      </c>
      <c r="D14" s="30" t="n">
        <f aca="false">FV(Taxa_Mensal,B14,-Aporte_Mensal,-Patrimonio_Inicial)</f>
        <v>286040.844875789</v>
      </c>
      <c r="E14" s="30" t="n">
        <f aca="false">D14-C14</f>
        <v>142040.844875789</v>
      </c>
      <c r="F14" s="30" t="n">
        <f aca="false">D14*DY_Anual/12</f>
        <v>1906.93896583859</v>
      </c>
    </row>
    <row r="15" customFormat="false" ht="15" hidden="false" customHeight="false" outlineLevel="0" collapsed="false">
      <c r="A15" s="29" t="n">
        <f aca="false">A14+1</f>
        <v>13</v>
      </c>
      <c r="B15" s="29" t="n">
        <f aca="false">A15*12</f>
        <v>156</v>
      </c>
      <c r="C15" s="30" t="n">
        <f aca="false">Patrimonio_Inicial+Aporte_Mensal*B15</f>
        <v>156000</v>
      </c>
      <c r="D15" s="30" t="n">
        <f aca="false">FV(Taxa_Mensal,B15,-Aporte_Mensal,-Patrimonio_Inicial)</f>
        <v>330098.940012997</v>
      </c>
      <c r="E15" s="30" t="n">
        <f aca="false">D15-C15</f>
        <v>174098.940012997</v>
      </c>
      <c r="F15" s="30" t="n">
        <f aca="false">D15*DY_Anual/12</f>
        <v>2200.65960008665</v>
      </c>
    </row>
    <row r="16" customFormat="false" ht="15" hidden="false" customHeight="false" outlineLevel="0" collapsed="false">
      <c r="A16" s="29" t="n">
        <f aca="false">A15+1</f>
        <v>14</v>
      </c>
      <c r="B16" s="29" t="n">
        <f aca="false">A16*12</f>
        <v>168</v>
      </c>
      <c r="C16" s="30" t="n">
        <f aca="false">Patrimonio_Inicial+Aporte_Mensal*B16</f>
        <v>168000</v>
      </c>
      <c r="D16" s="30" t="n">
        <f aca="false">FV(Taxa_Mensal,B16,-Aporte_Mensal,-Patrimonio_Inicial)</f>
        <v>379003.425615298</v>
      </c>
      <c r="E16" s="30" t="n">
        <f aca="false">D16-C16</f>
        <v>211003.425615298</v>
      </c>
      <c r="F16" s="30" t="n">
        <f aca="false">D16*DY_Anual/12</f>
        <v>2526.68950410199</v>
      </c>
    </row>
    <row r="17" customFormat="false" ht="15" hidden="false" customHeight="false" outlineLevel="0" collapsed="false">
      <c r="A17" s="29" t="n">
        <f aca="false">A16+1</f>
        <v>15</v>
      </c>
      <c r="B17" s="29" t="n">
        <f aca="false">A17*12</f>
        <v>180</v>
      </c>
      <c r="C17" s="30" t="n">
        <f aca="false">Patrimonio_Inicial+Aporte_Mensal*B17</f>
        <v>180000</v>
      </c>
      <c r="D17" s="30" t="n">
        <f aca="false">FV(Taxa_Mensal,B17,-Aporte_Mensal,-Patrimonio_Inicial)</f>
        <v>433287.404633852</v>
      </c>
      <c r="E17" s="30" t="n">
        <f aca="false">D17-C17</f>
        <v>253287.404633852</v>
      </c>
      <c r="F17" s="30" t="n">
        <f aca="false">D17*DY_Anual/12</f>
        <v>2888.58269755902</v>
      </c>
    </row>
    <row r="18" customFormat="false" ht="15" hidden="false" customHeight="false" outlineLevel="0" collapsed="false">
      <c r="A18" s="29" t="n">
        <f aca="false">A17+1</f>
        <v>16</v>
      </c>
      <c r="B18" s="29" t="n">
        <f aca="false">A18*12</f>
        <v>192</v>
      </c>
      <c r="C18" s="30" t="n">
        <f aca="false">Patrimonio_Inicial+Aporte_Mensal*B18</f>
        <v>192000</v>
      </c>
      <c r="D18" s="30" t="n">
        <f aca="false">FV(Taxa_Mensal,B18,-Aporte_Mensal,-Patrimonio_Inicial)</f>
        <v>493542.621344447</v>
      </c>
      <c r="E18" s="30" t="n">
        <f aca="false">D18-C18</f>
        <v>301542.621344447</v>
      </c>
      <c r="F18" s="30" t="n">
        <f aca="false">D18*DY_Anual/12</f>
        <v>3290.28414229632</v>
      </c>
    </row>
    <row r="19" customFormat="false" ht="15" hidden="false" customHeight="false" outlineLevel="0" collapsed="false">
      <c r="A19" s="29" t="n">
        <f aca="false">A18+1</f>
        <v>17</v>
      </c>
      <c r="B19" s="29" t="n">
        <f aca="false">A19*12</f>
        <v>204</v>
      </c>
      <c r="C19" s="30" t="n">
        <f aca="false">Patrimonio_Inicial+Aporte_Mensal*B19</f>
        <v>204000</v>
      </c>
      <c r="D19" s="30" t="n">
        <f aca="false">FV(Taxa_Mensal,B19,-Aporte_Mensal,-Patrimonio_Inicial)</f>
        <v>560425.911893208</v>
      </c>
      <c r="E19" s="30" t="n">
        <f aca="false">D19-C19</f>
        <v>356425.911893208</v>
      </c>
      <c r="F19" s="30" t="n">
        <f aca="false">D19*DY_Anual/12</f>
        <v>3736.17274595472</v>
      </c>
    </row>
    <row r="20" customFormat="false" ht="15" hidden="false" customHeight="false" outlineLevel="0" collapsed="false">
      <c r="A20" s="29" t="n">
        <f aca="false">A19+1</f>
        <v>18</v>
      </c>
      <c r="B20" s="29" t="n">
        <f aca="false">A20*12</f>
        <v>216</v>
      </c>
      <c r="C20" s="30" t="n">
        <f aca="false">Patrimonio_Inicial+Aporte_Mensal*B20</f>
        <v>216000</v>
      </c>
      <c r="D20" s="30" t="n">
        <f aca="false">FV(Taxa_Mensal,B20,-Aporte_Mensal,-Patrimonio_Inicial)</f>
        <v>634666.364402332</v>
      </c>
      <c r="E20" s="30" t="n">
        <f aca="false">D20-C20</f>
        <v>418666.364402332</v>
      </c>
      <c r="F20" s="30" t="n">
        <f aca="false">D20*DY_Anual/12</f>
        <v>4231.10909601555</v>
      </c>
    </row>
    <row r="21" customFormat="false" ht="15" hidden="false" customHeight="false" outlineLevel="0" collapsed="false">
      <c r="A21" s="29" t="n">
        <f aca="false">A20+1</f>
        <v>19</v>
      </c>
      <c r="B21" s="29" t="n">
        <f aca="false">A21*12</f>
        <v>228</v>
      </c>
      <c r="C21" s="30" t="n">
        <f aca="false">Patrimonio_Inicial+Aporte_Mensal*B21</f>
        <v>228000</v>
      </c>
      <c r="D21" s="30" t="n">
        <f aca="false">FV(Taxa_Mensal,B21,-Aporte_Mensal,-Patrimonio_Inicial)</f>
        <v>717073.26668746</v>
      </c>
      <c r="E21" s="30" t="n">
        <f aca="false">D21-C21</f>
        <v>489073.26668746</v>
      </c>
      <c r="F21" s="30" t="n">
        <f aca="false">D21*DY_Anual/12</f>
        <v>4780.48844458307</v>
      </c>
    </row>
    <row r="22" customFormat="false" ht="15" hidden="false" customHeight="false" outlineLevel="0" collapsed="false">
      <c r="A22" s="29" t="n">
        <f aca="false">A21+1</f>
        <v>20</v>
      </c>
      <c r="B22" s="29" t="n">
        <f aca="false">A22*12</f>
        <v>240</v>
      </c>
      <c r="C22" s="30" t="n">
        <f aca="false">Patrimonio_Inicial+Aporte_Mensal*B22</f>
        <v>240000</v>
      </c>
      <c r="D22" s="30" t="n">
        <f aca="false">FV(Taxa_Mensal,B22,-Aporte_Mensal,-Patrimonio_Inicial)</f>
        <v>808544.928223952</v>
      </c>
      <c r="E22" s="30" t="n">
        <f aca="false">D22-C22</f>
        <v>568544.928223952</v>
      </c>
      <c r="F22" s="30" t="n">
        <f aca="false">D22*DY_Anual/12</f>
        <v>5390.29952149301</v>
      </c>
    </row>
    <row r="23" customFormat="false" ht="15" hidden="false" customHeight="false" outlineLevel="0" collapsed="false">
      <c r="A23" s="29" t="n">
        <f aca="false">A22+1</f>
        <v>21</v>
      </c>
      <c r="B23" s="29" t="n">
        <f aca="false">A23*12</f>
        <v>252</v>
      </c>
      <c r="C23" s="30" t="n">
        <f aca="false">Patrimonio_Inicial+Aporte_Mensal*B23</f>
        <v>252000</v>
      </c>
      <c r="D23" s="30" t="n">
        <f aca="false">FV(Taxa_Mensal,B23,-Aporte_Mensal,-Patrimonio_Inicial)</f>
        <v>910078.472529458</v>
      </c>
      <c r="E23" s="30" t="n">
        <f aca="false">D23-C23</f>
        <v>658078.472529458</v>
      </c>
      <c r="F23" s="30" t="n">
        <f aca="false">D23*DY_Anual/12</f>
        <v>6067.18981686305</v>
      </c>
    </row>
    <row r="24" customFormat="false" ht="15" hidden="false" customHeight="false" outlineLevel="0" collapsed="false">
      <c r="A24" s="29" t="n">
        <f aca="false">A23+1</f>
        <v>22</v>
      </c>
      <c r="B24" s="29" t="n">
        <f aca="false">A24*12</f>
        <v>264</v>
      </c>
      <c r="C24" s="30" t="n">
        <f aca="false">Patrimonio_Inicial+Aporte_Mensal*B24</f>
        <v>264000</v>
      </c>
      <c r="D24" s="30" t="n">
        <f aca="false">FV(Taxa_Mensal,B24,-Aporte_Mensal,-Patrimonio_Inicial)</f>
        <v>1022780.70670857</v>
      </c>
      <c r="E24" s="30" t="n">
        <f aca="false">D24-C24</f>
        <v>758780.70670857</v>
      </c>
      <c r="F24" s="30" t="n">
        <f aca="false">D24*DY_Anual/12</f>
        <v>6818.5380447238</v>
      </c>
    </row>
    <row r="25" customFormat="false" ht="15" hidden="false" customHeight="false" outlineLevel="0" collapsed="false">
      <c r="A25" s="29" t="n">
        <f aca="false">A24+1</f>
        <v>23</v>
      </c>
      <c r="B25" s="29" t="n">
        <f aca="false">A25*12</f>
        <v>276</v>
      </c>
      <c r="C25" s="30" t="n">
        <f aca="false">Patrimonio_Inicial+Aporte_Mensal*B25</f>
        <v>276000</v>
      </c>
      <c r="D25" s="30" t="n">
        <f aca="false">FV(Taxa_Mensal,B25,-Aporte_Mensal,-Patrimonio_Inicial)</f>
        <v>1147880.18664738</v>
      </c>
      <c r="E25" s="30" t="n">
        <f aca="false">D25-C25</f>
        <v>871880.186647383</v>
      </c>
      <c r="F25" s="30" t="n">
        <f aca="false">D25*DY_Anual/12</f>
        <v>7652.53457764922</v>
      </c>
    </row>
    <row r="26" customFormat="false" ht="15" hidden="false" customHeight="false" outlineLevel="0" collapsed="false">
      <c r="A26" s="29" t="n">
        <f aca="false">A25+1</f>
        <v>24</v>
      </c>
      <c r="B26" s="29" t="n">
        <f aca="false">A26*12</f>
        <v>288</v>
      </c>
      <c r="C26" s="30" t="n">
        <f aca="false">Patrimonio_Inicial+Aporte_Mensal*B26</f>
        <v>288000</v>
      </c>
      <c r="D26" s="30" t="n">
        <f aca="false">FV(Taxa_Mensal,B26,-Aporte_Mensal,-Patrimonio_Inicial)</f>
        <v>1286740.60937947</v>
      </c>
      <c r="E26" s="30" t="n">
        <f aca="false">D26-C26</f>
        <v>998740.609379467</v>
      </c>
      <c r="F26" s="30" t="n">
        <f aca="false">D26*DY_Anual/12</f>
        <v>8578.27072919645</v>
      </c>
    </row>
    <row r="27" customFormat="false" ht="15" hidden="false" customHeight="false" outlineLevel="0" collapsed="false">
      <c r="A27" s="29" t="n">
        <f aca="false">A26+1</f>
        <v>25</v>
      </c>
      <c r="B27" s="29" t="n">
        <f aca="false">A27*12</f>
        <v>300</v>
      </c>
      <c r="C27" s="30" t="n">
        <f aca="false">Patrimonio_Inicial+Aporte_Mensal*B27</f>
        <v>300000</v>
      </c>
      <c r="D27" s="30" t="n">
        <f aca="false">FV(Taxa_Mensal,B27,-Aporte_Mensal,-Patrimonio_Inicial)</f>
        <v>1440875.67861208</v>
      </c>
      <c r="E27" s="30" t="n">
        <f aca="false">D27-C27</f>
        <v>1140875.67861208</v>
      </c>
      <c r="F27" s="30" t="n">
        <f aca="false">D27*DY_Anual/12</f>
        <v>9605.83785741387</v>
      </c>
    </row>
    <row r="28" customFormat="false" ht="15" hidden="false" customHeight="false" outlineLevel="0" collapsed="false">
      <c r="A28" s="29" t="n">
        <f aca="false">A27+1</f>
        <v>26</v>
      </c>
      <c r="B28" s="29" t="n">
        <f aca="false">A28*12</f>
        <v>312</v>
      </c>
      <c r="C28" s="30" t="n">
        <f aca="false">Patrimonio_Inicial+Aporte_Mensal*B28</f>
        <v>312000</v>
      </c>
      <c r="D28" s="30" t="n">
        <f aca="false">FV(Taxa_Mensal,B28,-Aporte_Mensal,-Patrimonio_Inicial)</f>
        <v>1611965.60546028</v>
      </c>
      <c r="E28" s="30" t="n">
        <f aca="false">D28-C28</f>
        <v>1299965.60546028</v>
      </c>
      <c r="F28" s="30" t="n">
        <f aca="false">D28*DY_Anual/12</f>
        <v>10746.4373697352</v>
      </c>
    </row>
    <row r="29" customFormat="false" ht="15" hidden="false" customHeight="false" outlineLevel="0" collapsed="false">
      <c r="A29" s="29" t="n">
        <f aca="false">A28+1</f>
        <v>27</v>
      </c>
      <c r="B29" s="29" t="n">
        <f aca="false">A29*12</f>
        <v>324</v>
      </c>
      <c r="C29" s="30" t="n">
        <f aca="false">Patrimonio_Inicial+Aporte_Mensal*B29</f>
        <v>324000</v>
      </c>
      <c r="D29" s="30" t="n">
        <f aca="false">FV(Taxa_Mensal,B29,-Aporte_Mensal,-Patrimonio_Inicial)</f>
        <v>1801875.42426178</v>
      </c>
      <c r="E29" s="30" t="n">
        <f aca="false">D29-C29</f>
        <v>1477875.42426178</v>
      </c>
      <c r="F29" s="30" t="n">
        <f aca="false">D29*DY_Anual/12</f>
        <v>12012.5028284119</v>
      </c>
    </row>
    <row r="30" customFormat="false" ht="15" hidden="false" customHeight="false" outlineLevel="0" collapsed="false">
      <c r="A30" s="29" t="n">
        <f aca="false">A29+1</f>
        <v>28</v>
      </c>
      <c r="B30" s="29" t="n">
        <f aca="false">A30*12</f>
        <v>336</v>
      </c>
      <c r="C30" s="30" t="n">
        <f aca="false">Patrimonio_Inicial+Aporte_Mensal*B30</f>
        <v>336000</v>
      </c>
      <c r="D30" s="30" t="n">
        <f aca="false">FV(Taxa_Mensal,B30,-Aporte_Mensal,-Patrimonio_Inicial)</f>
        <v>2012675.32313145</v>
      </c>
      <c r="E30" s="30" t="n">
        <f aca="false">D30-C30</f>
        <v>1676675.32313145</v>
      </c>
      <c r="F30" s="30" t="n">
        <f aca="false">D30*DY_Anual/12</f>
        <v>13417.835487543</v>
      </c>
    </row>
    <row r="31" customFormat="false" ht="15" hidden="false" customHeight="false" outlineLevel="0" collapsed="false">
      <c r="A31" s="29" t="n">
        <f aca="false">A30+1</f>
        <v>29</v>
      </c>
      <c r="B31" s="29" t="n">
        <f aca="false">A31*12</f>
        <v>348</v>
      </c>
      <c r="C31" s="30" t="n">
        <f aca="false">Patrimonio_Inicial+Aporte_Mensal*B31</f>
        <v>348000</v>
      </c>
      <c r="D31" s="30" t="n">
        <f aca="false">FV(Taxa_Mensal,B31,-Aporte_Mensal,-Patrimonio_Inicial)</f>
        <v>2246663.21087678</v>
      </c>
      <c r="E31" s="30" t="n">
        <f aca="false">D31-C31</f>
        <v>1898663.21087678</v>
      </c>
      <c r="F31" s="30" t="n">
        <f aca="false">D31*DY_Anual/12</f>
        <v>14977.7547391785</v>
      </c>
    </row>
    <row r="32" customFormat="false" ht="15" hidden="false" customHeight="false" outlineLevel="0" collapsed="false">
      <c r="A32" s="29" t="n">
        <f aca="false">A31+1</f>
        <v>30</v>
      </c>
      <c r="B32" s="29" t="n">
        <f aca="false">A32*12</f>
        <v>360</v>
      </c>
      <c r="C32" s="30" t="n">
        <f aca="false">Patrimonio_Inicial+Aporte_Mensal*B32</f>
        <v>360000</v>
      </c>
      <c r="D32" s="30" t="n">
        <f aca="false">FV(Taxa_Mensal,B32,-Aporte_Mensal,-Patrimonio_Inicial)</f>
        <v>2506389.7662741</v>
      </c>
      <c r="E32" s="30" t="n">
        <f aca="false">D32-C32</f>
        <v>2146389.7662741</v>
      </c>
      <c r="F32" s="30" t="n">
        <f aca="false">D32*DY_Anual/12</f>
        <v>16709.265108494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2026-10-13T13:43:13Z</dcterms:created>
  <dc:creator>openpyxl</dc:creator>
  <dc:description/>
  <dc:language>en-US</dc:language>
  <cp:lastModifiedBy/>
  <dcterms:modified xsi:type="dcterms:W3CDTF">2026-10-13T10:43:15Z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